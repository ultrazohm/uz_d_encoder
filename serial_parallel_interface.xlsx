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n\Documents\Uni\Master\WISE2122\EALProjektpraktikum\uz_d_encoder\"/>
    </mc:Choice>
  </mc:AlternateContent>
  <xr:revisionPtr revIDLastSave="0" documentId="13_ncr:1_{DC20B02A-273E-4E1F-B687-88E5859FA30D}" xr6:coauthVersionLast="47" xr6:coauthVersionMax="47" xr10:uidLastSave="{00000000-0000-0000-0000-000000000000}"/>
  <bookViews>
    <workbookView xWindow="-98" yWindow="-98" windowWidth="19396" windowHeight="10996" activeTab="3" xr2:uid="{19E285B5-7740-4A15-AD9F-8C8F45469901}"/>
  </bookViews>
  <sheets>
    <sheet name="Signals" sheetId="1" r:id="rId1"/>
    <sheet name="Pinout" sheetId="2" r:id="rId2"/>
    <sheet name="Tabelle1" sheetId="3" r:id="rId3"/>
    <sheet name="Tabelle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9" i="1" l="1"/>
  <c r="B39" i="1"/>
  <c r="B71" i="1" s="1"/>
  <c r="C39" i="1"/>
  <c r="B72" i="1" l="1"/>
</calcChain>
</file>

<file path=xl/sharedStrings.xml><?xml version="1.0" encoding="utf-8"?>
<sst xmlns="http://schemas.openxmlformats.org/spreadsheetml/2006/main" count="602" uniqueCount="146">
  <si>
    <t>DIR</t>
  </si>
  <si>
    <t>CS</t>
  </si>
  <si>
    <t>A0</t>
  </si>
  <si>
    <t>A1</t>
  </si>
  <si>
    <t>A</t>
  </si>
  <si>
    <t>B</t>
  </si>
  <si>
    <t>Serial Communication</t>
  </si>
  <si>
    <t>Parallel Communication</t>
  </si>
  <si>
    <t>RES1</t>
  </si>
  <si>
    <t>RD</t>
  </si>
  <si>
    <t>WR/ FSYNC</t>
  </si>
  <si>
    <t>SOE</t>
  </si>
  <si>
    <t>SAMPLE</t>
  </si>
  <si>
    <t>DB15/SDO</t>
  </si>
  <si>
    <t>DB14/SDI</t>
  </si>
  <si>
    <t>DB13/SCLK</t>
  </si>
  <si>
    <t>DB8</t>
  </si>
  <si>
    <t>NM</t>
  </si>
  <si>
    <t>RESET</t>
  </si>
  <si>
    <t>LOT</t>
  </si>
  <si>
    <t>DOS</t>
  </si>
  <si>
    <t>RES0</t>
  </si>
  <si>
    <t>DB6</t>
  </si>
  <si>
    <t>DB5</t>
  </si>
  <si>
    <t>DB4</t>
  </si>
  <si>
    <t>DB3</t>
  </si>
  <si>
    <t>DB2</t>
  </si>
  <si>
    <t>DB1</t>
  </si>
  <si>
    <t>DB0</t>
  </si>
  <si>
    <t>DB11</t>
  </si>
  <si>
    <t>DB10</t>
  </si>
  <si>
    <t>DB9</t>
  </si>
  <si>
    <t>DB7</t>
  </si>
  <si>
    <t>DB12</t>
  </si>
  <si>
    <t>X</t>
  </si>
  <si>
    <t>OPTIONAL</t>
  </si>
  <si>
    <t>CHECK</t>
  </si>
  <si>
    <t>REQUIRED</t>
  </si>
  <si>
    <t>No fast change, IO Expander Possible</t>
  </si>
  <si>
    <t>Actual Design</t>
  </si>
  <si>
    <t>n.c.</t>
  </si>
  <si>
    <t>connected</t>
  </si>
  <si>
    <t>Maybe constant pull possible?</t>
  </si>
  <si>
    <t xml:space="preserve">check </t>
  </si>
  <si>
    <t>check</t>
  </si>
  <si>
    <t>Comment</t>
  </si>
  <si>
    <t>New Design</t>
  </si>
  <si>
    <t>Total</t>
  </si>
  <si>
    <t>Resolver</t>
  </si>
  <si>
    <t>Absolute Encoder</t>
  </si>
  <si>
    <t>RX-S_DATA_SH</t>
  </si>
  <si>
    <t>TX-S_DATA_SH</t>
  </si>
  <si>
    <t>READ_WRITE_DATA_SH</t>
  </si>
  <si>
    <t>RX-S_CLOCK_SH</t>
  </si>
  <si>
    <t>TX-S_CLOCK_SH</t>
  </si>
  <si>
    <t>READ_WRITE_CLOCK_SH</t>
  </si>
  <si>
    <t>INCR_A1</t>
  </si>
  <si>
    <t>INCR_A2</t>
  </si>
  <si>
    <t>INCR_A3</t>
  </si>
  <si>
    <t>INCR_B1</t>
  </si>
  <si>
    <t>INCR_B2</t>
  </si>
  <si>
    <t>INCR_B3</t>
  </si>
  <si>
    <t>INCRA</t>
  </si>
  <si>
    <t>INCRB</t>
  </si>
  <si>
    <t>POUT_ADC1</t>
  </si>
  <si>
    <t>POUT_ADC2</t>
  </si>
  <si>
    <t>POUT_ADC3</t>
  </si>
  <si>
    <t>POUT_ADC4</t>
  </si>
  <si>
    <t>ADC_CVN</t>
  </si>
  <si>
    <t>ADC_CLK</t>
  </si>
  <si>
    <t>selectable</t>
  </si>
  <si>
    <t>Analog Hall</t>
  </si>
  <si>
    <t>PWM</t>
  </si>
  <si>
    <t>Pins Used in Total</t>
  </si>
  <si>
    <t xml:space="preserve">Pins Shared </t>
  </si>
  <si>
    <t>DIG_IO_07</t>
  </si>
  <si>
    <t>DIG_IO_06</t>
  </si>
  <si>
    <t>DIG_IO_05</t>
  </si>
  <si>
    <t>DIG_IO_01</t>
  </si>
  <si>
    <t>DIG_IO_00</t>
  </si>
  <si>
    <t>DIG_IO_02</t>
  </si>
  <si>
    <t>DIG_IO_03</t>
  </si>
  <si>
    <t>DIG_IO_04</t>
  </si>
  <si>
    <t>DIG_IO_08</t>
  </si>
  <si>
    <t>DIG_IO_09</t>
  </si>
  <si>
    <t>DIG_IO_10</t>
  </si>
  <si>
    <t>DIG_IO_11</t>
  </si>
  <si>
    <t>DIG_IO_12</t>
  </si>
  <si>
    <t>DIG_IO_13</t>
  </si>
  <si>
    <t>DIG_IO_14</t>
  </si>
  <si>
    <t>DIG_IO_15</t>
  </si>
  <si>
    <t>DIG_IO_16</t>
  </si>
  <si>
    <t>DIG_IO_17</t>
  </si>
  <si>
    <t>DIG_IO_18</t>
  </si>
  <si>
    <t>DIG_IO_19</t>
  </si>
  <si>
    <t>DIG_IO_20</t>
  </si>
  <si>
    <t>DIG_IO_21</t>
  </si>
  <si>
    <t>DIG_IO_22</t>
  </si>
  <si>
    <t>DIG_IO_23</t>
  </si>
  <si>
    <t>DIG_IO_24</t>
  </si>
  <si>
    <t>DIG_IO_25</t>
  </si>
  <si>
    <t>DIG_IO_26</t>
  </si>
  <si>
    <t>DIG_IO_27</t>
  </si>
  <si>
    <t>DIG_IO_28</t>
  </si>
  <si>
    <t>DIG_IO_29</t>
  </si>
  <si>
    <t>Pin</t>
  </si>
  <si>
    <t>Assembly A</t>
  </si>
  <si>
    <t>Assembly B</t>
  </si>
  <si>
    <t>Resolver_DIR</t>
  </si>
  <si>
    <t>\Resolver_CS</t>
  </si>
  <si>
    <t>A0_Resolver</t>
  </si>
  <si>
    <t>FSYNC</t>
  </si>
  <si>
    <t>N_SAMPLE</t>
  </si>
  <si>
    <t>Resolver_SDO</t>
  </si>
  <si>
    <t>Resolver_SDI</t>
  </si>
  <si>
    <t>Resolver_SCLK</t>
  </si>
  <si>
    <t>\Reset_Resolver</t>
  </si>
  <si>
    <t>A1_Resolver</t>
  </si>
  <si>
    <t>ADC1_CVN</t>
  </si>
  <si>
    <t>ADC_CLK1_P</t>
  </si>
  <si>
    <t>ADC1_OUT_P1</t>
  </si>
  <si>
    <t>ADC1_OUT_P2</t>
  </si>
  <si>
    <t>ADC1_OUT_P3</t>
  </si>
  <si>
    <t>ADC1_OUT_P4</t>
  </si>
  <si>
    <t>RESOLVERA</t>
  </si>
  <si>
    <t>RESOLVERB</t>
  </si>
  <si>
    <t>RESOLVER_NM</t>
  </si>
  <si>
    <t>Not connected</t>
  </si>
  <si>
    <t>NOT REQ</t>
  </si>
  <si>
    <t>Replaceable if possible to power cycle the board with HSSwitch on Logic Board</t>
  </si>
  <si>
    <t>SELECTABLE</t>
  </si>
  <si>
    <t>Resistor on board required or dip switch</t>
  </si>
  <si>
    <t>Incremental</t>
  </si>
  <si>
    <t>Resolver Parallel</t>
  </si>
  <si>
    <t>Place Pull up!</t>
  </si>
  <si>
    <t>Resolver Required</t>
  </si>
  <si>
    <t>Resolver Incremental</t>
  </si>
  <si>
    <t>Serial Resolver</t>
  </si>
  <si>
    <t>Inc A</t>
  </si>
  <si>
    <t>Inc B</t>
  </si>
  <si>
    <t>Parallel Resolver</t>
  </si>
  <si>
    <t>Analog</t>
  </si>
  <si>
    <t>Absolute</t>
  </si>
  <si>
    <t>Incremental Resolver</t>
  </si>
  <si>
    <t>x</t>
  </si>
  <si>
    <t>Parallel Nutzbar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</si>
</sst>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3" fillId="0" borderId="0" xfId="0" applyFont="1"/>
    <xf numFmtId="0" fontId="0" fillId="9" borderId="0" xfId="0" applyFill="1"/>
    <xf numFmtId="0" fontId="0" fillId="0" borderId="0" xfId="0" applyAlignment="1">
      <alignment horizontal="center"/>
    </xf>
    <xf numFmtId="0" fontId="4" fillId="2" borderId="0" xfId="0" applyFont="1" applyFill="1"/>
    <xf numFmtId="0" fontId="0" fillId="0" borderId="1" xfId="0" applyBorder="1"/>
    <xf numFmtId="0" fontId="0" fillId="0" borderId="1" xfId="0" applyFill="1" applyBorder="1"/>
    <xf numFmtId="0" fontId="0" fillId="10" borderId="1" xfId="0" applyFill="1" applyBorder="1"/>
    <xf numFmtId="0" fontId="0" fillId="0" borderId="0" xfId="0" applyBorder="1"/>
    <xf numFmtId="0" fontId="0" fillId="0" borderId="0" xfId="0" applyFill="1"/>
    <xf numFmtId="0" fontId="4" fillId="0" borderId="0" xfId="0" applyFont="1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B6542-F889-4043-9BB2-4053567E6D12}">
  <dimension ref="A1:M72"/>
  <sheetViews>
    <sheetView topLeftCell="A5" zoomScale="70" zoomScaleNormal="70" workbookViewId="0">
      <selection activeCell="D15" sqref="D15"/>
    </sheetView>
  </sheetViews>
  <sheetFormatPr baseColWidth="10" defaultRowHeight="14.25" x14ac:dyDescent="0.45"/>
  <cols>
    <col min="1" max="1" width="23" bestFit="1" customWidth="1"/>
    <col min="2" max="2" width="11.6640625" bestFit="1" customWidth="1"/>
    <col min="3" max="3" width="11.6640625" customWidth="1"/>
    <col min="4" max="4" width="22.6640625" bestFit="1" customWidth="1"/>
    <col min="5" max="5" width="20.06640625" bestFit="1" customWidth="1"/>
    <col min="6" max="6" width="30.6640625" bestFit="1" customWidth="1"/>
    <col min="7" max="7" width="14.06640625" bestFit="1" customWidth="1"/>
  </cols>
  <sheetData>
    <row r="1" spans="1:8" x14ac:dyDescent="0.45">
      <c r="B1" s="1" t="s">
        <v>39</v>
      </c>
      <c r="C1" s="1" t="s">
        <v>46</v>
      </c>
      <c r="D1" s="1" t="s">
        <v>6</v>
      </c>
      <c r="E1" s="1" t="s">
        <v>7</v>
      </c>
      <c r="F1" s="1" t="s">
        <v>45</v>
      </c>
    </row>
    <row r="2" spans="1:8" x14ac:dyDescent="0.45">
      <c r="A2" s="4" t="s">
        <v>48</v>
      </c>
      <c r="G2" s="1"/>
      <c r="H2" s="1"/>
    </row>
    <row r="3" spans="1:8" x14ac:dyDescent="0.45">
      <c r="A3" t="s">
        <v>28</v>
      </c>
      <c r="B3" t="s">
        <v>40</v>
      </c>
      <c r="C3" t="s">
        <v>41</v>
      </c>
      <c r="D3" t="s">
        <v>34</v>
      </c>
      <c r="E3" t="s">
        <v>37</v>
      </c>
    </row>
    <row r="4" spans="1:8" x14ac:dyDescent="0.45">
      <c r="A4" t="s">
        <v>27</v>
      </c>
      <c r="B4" t="s">
        <v>40</v>
      </c>
      <c r="C4" t="s">
        <v>41</v>
      </c>
      <c r="D4" t="s">
        <v>34</v>
      </c>
      <c r="E4" t="s">
        <v>37</v>
      </c>
    </row>
    <row r="5" spans="1:8" x14ac:dyDescent="0.45">
      <c r="A5" t="s">
        <v>26</v>
      </c>
      <c r="B5" t="s">
        <v>40</v>
      </c>
      <c r="C5" t="s">
        <v>41</v>
      </c>
      <c r="D5" t="s">
        <v>34</v>
      </c>
      <c r="E5" t="s">
        <v>37</v>
      </c>
    </row>
    <row r="6" spans="1:8" x14ac:dyDescent="0.45">
      <c r="A6" t="s">
        <v>25</v>
      </c>
      <c r="B6" t="s">
        <v>40</v>
      </c>
      <c r="C6" t="s">
        <v>41</v>
      </c>
      <c r="D6" t="s">
        <v>34</v>
      </c>
      <c r="E6" t="s">
        <v>37</v>
      </c>
    </row>
    <row r="7" spans="1:8" x14ac:dyDescent="0.45">
      <c r="A7" t="s">
        <v>24</v>
      </c>
      <c r="B7" t="s">
        <v>40</v>
      </c>
      <c r="C7" t="s">
        <v>41</v>
      </c>
      <c r="D7" t="s">
        <v>34</v>
      </c>
      <c r="E7" t="s">
        <v>37</v>
      </c>
    </row>
    <row r="8" spans="1:8" x14ac:dyDescent="0.45">
      <c r="A8" t="s">
        <v>23</v>
      </c>
      <c r="B8" t="s">
        <v>40</v>
      </c>
      <c r="C8" t="s">
        <v>41</v>
      </c>
      <c r="D8" t="s">
        <v>34</v>
      </c>
      <c r="E8" t="s">
        <v>37</v>
      </c>
    </row>
    <row r="9" spans="1:8" x14ac:dyDescent="0.45">
      <c r="A9" t="s">
        <v>22</v>
      </c>
      <c r="B9" t="s">
        <v>40</v>
      </c>
      <c r="C9" t="s">
        <v>41</v>
      </c>
      <c r="D9" t="s">
        <v>34</v>
      </c>
      <c r="E9" t="s">
        <v>37</v>
      </c>
    </row>
    <row r="10" spans="1:8" x14ac:dyDescent="0.45">
      <c r="A10" t="s">
        <v>32</v>
      </c>
      <c r="B10" t="s">
        <v>40</v>
      </c>
      <c r="C10" t="s">
        <v>41</v>
      </c>
      <c r="D10" t="s">
        <v>34</v>
      </c>
      <c r="E10" t="s">
        <v>37</v>
      </c>
    </row>
    <row r="11" spans="1:8" x14ac:dyDescent="0.45">
      <c r="A11" t="s">
        <v>16</v>
      </c>
      <c r="B11" t="s">
        <v>40</v>
      </c>
      <c r="C11" t="s">
        <v>41</v>
      </c>
      <c r="D11" t="s">
        <v>34</v>
      </c>
      <c r="E11" t="s">
        <v>37</v>
      </c>
    </row>
    <row r="12" spans="1:8" x14ac:dyDescent="0.45">
      <c r="A12" t="s">
        <v>31</v>
      </c>
      <c r="B12" t="s">
        <v>40</v>
      </c>
      <c r="C12" t="s">
        <v>41</v>
      </c>
      <c r="D12" t="s">
        <v>34</v>
      </c>
      <c r="E12" t="s">
        <v>37</v>
      </c>
    </row>
    <row r="13" spans="1:8" x14ac:dyDescent="0.45">
      <c r="A13" t="s">
        <v>30</v>
      </c>
      <c r="B13" t="s">
        <v>40</v>
      </c>
      <c r="C13" t="s">
        <v>41</v>
      </c>
      <c r="D13" t="s">
        <v>34</v>
      </c>
      <c r="E13" t="s">
        <v>37</v>
      </c>
    </row>
    <row r="14" spans="1:8" x14ac:dyDescent="0.45">
      <c r="A14" t="s">
        <v>29</v>
      </c>
      <c r="B14" t="s">
        <v>40</v>
      </c>
      <c r="C14" t="s">
        <v>41</v>
      </c>
      <c r="D14" t="s">
        <v>34</v>
      </c>
      <c r="E14" t="s">
        <v>37</v>
      </c>
    </row>
    <row r="15" spans="1:8" x14ac:dyDescent="0.45">
      <c r="A15" t="s">
        <v>33</v>
      </c>
      <c r="B15" t="s">
        <v>40</v>
      </c>
      <c r="C15" t="s">
        <v>41</v>
      </c>
      <c r="D15" t="s">
        <v>34</v>
      </c>
      <c r="E15" t="s">
        <v>37</v>
      </c>
    </row>
    <row r="16" spans="1:8" x14ac:dyDescent="0.45">
      <c r="A16" t="s">
        <v>15</v>
      </c>
      <c r="B16" t="s">
        <v>41</v>
      </c>
      <c r="C16" t="s">
        <v>41</v>
      </c>
      <c r="D16" t="s">
        <v>37</v>
      </c>
      <c r="E16" t="s">
        <v>37</v>
      </c>
      <c r="F16" s="2"/>
      <c r="H16" s="2"/>
    </row>
    <row r="17" spans="1:13" x14ac:dyDescent="0.45">
      <c r="A17" t="s">
        <v>14</v>
      </c>
      <c r="B17" t="s">
        <v>41</v>
      </c>
      <c r="C17" t="s">
        <v>41</v>
      </c>
      <c r="D17" t="s">
        <v>37</v>
      </c>
      <c r="E17" t="s">
        <v>37</v>
      </c>
    </row>
    <row r="18" spans="1:13" x14ac:dyDescent="0.45">
      <c r="A18" t="s">
        <v>13</v>
      </c>
      <c r="B18" t="s">
        <v>41</v>
      </c>
      <c r="C18" t="s">
        <v>41</v>
      </c>
      <c r="D18" t="s">
        <v>37</v>
      </c>
      <c r="E18" t="s">
        <v>37</v>
      </c>
    </row>
    <row r="19" spans="1:13" x14ac:dyDescent="0.45">
      <c r="A19" t="s">
        <v>9</v>
      </c>
      <c r="B19" t="s">
        <v>40</v>
      </c>
      <c r="C19" s="3"/>
      <c r="D19" t="s">
        <v>34</v>
      </c>
      <c r="E19" t="s">
        <v>37</v>
      </c>
      <c r="F19" s="2" t="s">
        <v>134</v>
      </c>
    </row>
    <row r="21" spans="1:13" x14ac:dyDescent="0.45">
      <c r="A21" t="s">
        <v>1</v>
      </c>
      <c r="B21" t="s">
        <v>41</v>
      </c>
      <c r="C21" t="s">
        <v>41</v>
      </c>
      <c r="D21" t="s">
        <v>128</v>
      </c>
      <c r="E21" t="s">
        <v>37</v>
      </c>
      <c r="F21" t="s">
        <v>42</v>
      </c>
    </row>
    <row r="22" spans="1:13" x14ac:dyDescent="0.45">
      <c r="A22" t="s">
        <v>10</v>
      </c>
      <c r="B22" t="s">
        <v>41</v>
      </c>
      <c r="C22" t="s">
        <v>41</v>
      </c>
      <c r="D22" t="s">
        <v>37</v>
      </c>
      <c r="E22" t="s">
        <v>37</v>
      </c>
      <c r="F22" t="s">
        <v>42</v>
      </c>
    </row>
    <row r="23" spans="1:13" x14ac:dyDescent="0.45">
      <c r="A23" t="s">
        <v>12</v>
      </c>
      <c r="B23" t="s">
        <v>41</v>
      </c>
      <c r="C23" t="s">
        <v>41</v>
      </c>
      <c r="D23" t="s">
        <v>37</v>
      </c>
      <c r="E23" t="s">
        <v>37</v>
      </c>
    </row>
    <row r="25" spans="1:13" x14ac:dyDescent="0.45">
      <c r="A25" t="s">
        <v>4</v>
      </c>
      <c r="B25" t="s">
        <v>70</v>
      </c>
      <c r="C25" t="s">
        <v>70</v>
      </c>
      <c r="D25" t="s">
        <v>130</v>
      </c>
      <c r="E25" t="s">
        <v>130</v>
      </c>
    </row>
    <row r="26" spans="1:13" x14ac:dyDescent="0.45">
      <c r="A26" t="s">
        <v>5</v>
      </c>
      <c r="B26" t="s">
        <v>70</v>
      </c>
      <c r="C26" t="s">
        <v>70</v>
      </c>
      <c r="D26" t="s">
        <v>130</v>
      </c>
      <c r="E26" t="s">
        <v>130</v>
      </c>
    </row>
    <row r="27" spans="1:13" x14ac:dyDescent="0.45">
      <c r="A27" t="s">
        <v>17</v>
      </c>
      <c r="B27" t="s">
        <v>70</v>
      </c>
      <c r="C27" t="s">
        <v>70</v>
      </c>
      <c r="D27" t="s">
        <v>130</v>
      </c>
      <c r="E27" t="s">
        <v>130</v>
      </c>
    </row>
    <row r="28" spans="1:13" x14ac:dyDescent="0.45">
      <c r="A28" t="s">
        <v>0</v>
      </c>
      <c r="B28" t="s">
        <v>70</v>
      </c>
      <c r="C28" t="s">
        <v>41</v>
      </c>
      <c r="D28" t="s">
        <v>130</v>
      </c>
      <c r="E28" t="s">
        <v>130</v>
      </c>
    </row>
    <row r="29" spans="1:13" x14ac:dyDescent="0.45">
      <c r="A29" t="s">
        <v>18</v>
      </c>
      <c r="B29" t="s">
        <v>41</v>
      </c>
      <c r="C29" t="s">
        <v>41</v>
      </c>
      <c r="D29" t="s">
        <v>36</v>
      </c>
      <c r="E29" t="s">
        <v>36</v>
      </c>
      <c r="F29" t="s">
        <v>129</v>
      </c>
    </row>
    <row r="30" spans="1:13" x14ac:dyDescent="0.45">
      <c r="A30" t="s">
        <v>19</v>
      </c>
      <c r="B30" t="s">
        <v>40</v>
      </c>
      <c r="C30" s="3" t="s">
        <v>40</v>
      </c>
      <c r="D30" t="s">
        <v>36</v>
      </c>
      <c r="E30" t="s">
        <v>36</v>
      </c>
      <c r="G30" s="5"/>
      <c r="H30" s="5"/>
      <c r="I30" s="5"/>
      <c r="J30" s="5"/>
      <c r="K30" s="5"/>
      <c r="L30" s="5"/>
      <c r="M30" s="5"/>
    </row>
    <row r="31" spans="1:13" x14ac:dyDescent="0.45">
      <c r="A31" t="s">
        <v>20</v>
      </c>
      <c r="B31" t="s">
        <v>40</v>
      </c>
      <c r="C31" s="3" t="s">
        <v>40</v>
      </c>
      <c r="D31" t="s">
        <v>36</v>
      </c>
      <c r="E31" t="s">
        <v>36</v>
      </c>
    </row>
    <row r="32" spans="1:13" x14ac:dyDescent="0.45">
      <c r="A32" t="s">
        <v>3</v>
      </c>
      <c r="B32" t="s">
        <v>41</v>
      </c>
      <c r="C32" s="3" t="s">
        <v>41</v>
      </c>
      <c r="D32" t="s">
        <v>37</v>
      </c>
      <c r="E32" t="s">
        <v>37</v>
      </c>
      <c r="F32" t="s">
        <v>38</v>
      </c>
    </row>
    <row r="33" spans="1:7" x14ac:dyDescent="0.45">
      <c r="A33" t="s">
        <v>2</v>
      </c>
      <c r="B33" t="s">
        <v>41</v>
      </c>
      <c r="C33" s="3" t="s">
        <v>41</v>
      </c>
      <c r="D33" t="s">
        <v>37</v>
      </c>
      <c r="E33" t="s">
        <v>37</v>
      </c>
      <c r="F33" t="s">
        <v>38</v>
      </c>
    </row>
    <row r="35" spans="1:7" x14ac:dyDescent="0.45">
      <c r="A35" t="s">
        <v>21</v>
      </c>
      <c r="B35" t="s">
        <v>40</v>
      </c>
      <c r="C35" s="3" t="s">
        <v>40</v>
      </c>
      <c r="D35" t="s">
        <v>35</v>
      </c>
      <c r="E35" t="s">
        <v>35</v>
      </c>
      <c r="F35" t="s">
        <v>38</v>
      </c>
      <c r="G35" t="s">
        <v>131</v>
      </c>
    </row>
    <row r="36" spans="1:7" x14ac:dyDescent="0.45">
      <c r="A36" t="s">
        <v>8</v>
      </c>
      <c r="B36" t="s">
        <v>40</v>
      </c>
      <c r="C36" s="3" t="s">
        <v>40</v>
      </c>
      <c r="D36" t="s">
        <v>35</v>
      </c>
      <c r="E36" t="s">
        <v>35</v>
      </c>
      <c r="F36" t="s">
        <v>38</v>
      </c>
      <c r="G36" t="s">
        <v>131</v>
      </c>
    </row>
    <row r="37" spans="1:7" x14ac:dyDescent="0.45">
      <c r="A37" t="s">
        <v>11</v>
      </c>
      <c r="B37" t="s">
        <v>40</v>
      </c>
      <c r="C37" s="3" t="s">
        <v>40</v>
      </c>
      <c r="D37" t="s">
        <v>43</v>
      </c>
      <c r="E37" t="s">
        <v>44</v>
      </c>
      <c r="G37" t="s">
        <v>131</v>
      </c>
    </row>
    <row r="39" spans="1:7" x14ac:dyDescent="0.45">
      <c r="A39" t="s">
        <v>47</v>
      </c>
      <c r="B39">
        <f>COUNTIF(B3:B37, "connected")</f>
        <v>9</v>
      </c>
      <c r="C39">
        <f>COUNTIF(C3:C37, "connected")</f>
        <v>23</v>
      </c>
    </row>
    <row r="41" spans="1:7" x14ac:dyDescent="0.45">
      <c r="A41" s="4" t="s">
        <v>49</v>
      </c>
    </row>
    <row r="42" spans="1:7" x14ac:dyDescent="0.45">
      <c r="A42" t="s">
        <v>50</v>
      </c>
      <c r="B42" t="s">
        <v>41</v>
      </c>
    </row>
    <row r="43" spans="1:7" x14ac:dyDescent="0.45">
      <c r="A43" t="s">
        <v>51</v>
      </c>
      <c r="B43" t="s">
        <v>41</v>
      </c>
    </row>
    <row r="44" spans="1:7" x14ac:dyDescent="0.45">
      <c r="A44" t="s">
        <v>52</v>
      </c>
      <c r="B44" t="s">
        <v>41</v>
      </c>
    </row>
    <row r="45" spans="1:7" x14ac:dyDescent="0.45">
      <c r="A45" t="s">
        <v>53</v>
      </c>
      <c r="B45" t="s">
        <v>41</v>
      </c>
    </row>
    <row r="46" spans="1:7" x14ac:dyDescent="0.45">
      <c r="A46" t="s">
        <v>54</v>
      </c>
      <c r="B46" t="s">
        <v>41</v>
      </c>
    </row>
    <row r="47" spans="1:7" x14ac:dyDescent="0.45">
      <c r="A47" t="s">
        <v>55</v>
      </c>
      <c r="B47" t="s">
        <v>41</v>
      </c>
    </row>
    <row r="49" spans="1:2" x14ac:dyDescent="0.45">
      <c r="A49" s="4" t="s">
        <v>62</v>
      </c>
    </row>
    <row r="50" spans="1:2" x14ac:dyDescent="0.45">
      <c r="A50" t="s">
        <v>56</v>
      </c>
      <c r="B50" t="s">
        <v>41</v>
      </c>
    </row>
    <row r="51" spans="1:2" x14ac:dyDescent="0.45">
      <c r="A51" t="s">
        <v>57</v>
      </c>
      <c r="B51" t="s">
        <v>41</v>
      </c>
    </row>
    <row r="52" spans="1:2" x14ac:dyDescent="0.45">
      <c r="A52" t="s">
        <v>58</v>
      </c>
      <c r="B52" t="s">
        <v>41</v>
      </c>
    </row>
    <row r="54" spans="1:2" x14ac:dyDescent="0.45">
      <c r="A54" s="4" t="s">
        <v>63</v>
      </c>
    </row>
    <row r="55" spans="1:2" x14ac:dyDescent="0.45">
      <c r="A55" t="s">
        <v>59</v>
      </c>
      <c r="B55" t="s">
        <v>70</v>
      </c>
    </row>
    <row r="56" spans="1:2" x14ac:dyDescent="0.45">
      <c r="A56" t="s">
        <v>60</v>
      </c>
      <c r="B56" t="s">
        <v>70</v>
      </c>
    </row>
    <row r="57" spans="1:2" x14ac:dyDescent="0.45">
      <c r="A57" t="s">
        <v>61</v>
      </c>
      <c r="B57" t="s">
        <v>70</v>
      </c>
    </row>
    <row r="59" spans="1:2" x14ac:dyDescent="0.45">
      <c r="A59" s="4" t="s">
        <v>71</v>
      </c>
    </row>
    <row r="60" spans="1:2" x14ac:dyDescent="0.45">
      <c r="A60" t="s">
        <v>64</v>
      </c>
      <c r="B60" t="s">
        <v>41</v>
      </c>
    </row>
    <row r="61" spans="1:2" x14ac:dyDescent="0.45">
      <c r="A61" t="s">
        <v>65</v>
      </c>
      <c r="B61" t="s">
        <v>41</v>
      </c>
    </row>
    <row r="62" spans="1:2" x14ac:dyDescent="0.45">
      <c r="A62" t="s">
        <v>66</v>
      </c>
      <c r="B62" t="s">
        <v>41</v>
      </c>
    </row>
    <row r="63" spans="1:2" x14ac:dyDescent="0.45">
      <c r="A63" t="s">
        <v>67</v>
      </c>
      <c r="B63" t="s">
        <v>41</v>
      </c>
    </row>
    <row r="64" spans="1:2" x14ac:dyDescent="0.45">
      <c r="A64" t="s">
        <v>68</v>
      </c>
      <c r="B64" t="s">
        <v>41</v>
      </c>
    </row>
    <row r="65" spans="1:2" x14ac:dyDescent="0.45">
      <c r="A65" t="s">
        <v>69</v>
      </c>
      <c r="B65" t="s">
        <v>41</v>
      </c>
    </row>
    <row r="67" spans="1:2" x14ac:dyDescent="0.45">
      <c r="A67" t="s">
        <v>72</v>
      </c>
      <c r="B67" t="s">
        <v>41</v>
      </c>
    </row>
    <row r="69" spans="1:2" x14ac:dyDescent="0.45">
      <c r="A69" t="s">
        <v>47</v>
      </c>
      <c r="B69">
        <f>COUNTIF(B41:B68, "connected")</f>
        <v>16</v>
      </c>
    </row>
    <row r="71" spans="1:2" x14ac:dyDescent="0.45">
      <c r="A71" t="s">
        <v>74</v>
      </c>
      <c r="B71">
        <f>COUNTIF(B1:B70,"selectable")/2</f>
        <v>3.5</v>
      </c>
    </row>
    <row r="72" spans="1:2" x14ac:dyDescent="0.45">
      <c r="A72" t="s">
        <v>73</v>
      </c>
      <c r="B72">
        <f>B39+B69+B71</f>
        <v>28.5</v>
      </c>
    </row>
  </sheetData>
  <phoneticPr fontId="2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DC29B-7AAE-432E-95FD-36A6EDE8D593}">
  <dimension ref="A1:C32"/>
  <sheetViews>
    <sheetView zoomScale="70" zoomScaleNormal="70" workbookViewId="0">
      <selection activeCell="D24" sqref="D24"/>
    </sheetView>
  </sheetViews>
  <sheetFormatPr baseColWidth="10" defaultRowHeight="14.25" x14ac:dyDescent="0.45"/>
  <cols>
    <col min="2" max="2" width="20.73046875" bestFit="1" customWidth="1"/>
  </cols>
  <sheetData>
    <row r="1" spans="1:3" x14ac:dyDescent="0.45">
      <c r="B1" s="20" t="s">
        <v>39</v>
      </c>
      <c r="C1" s="20"/>
    </row>
    <row r="2" spans="1:3" x14ac:dyDescent="0.45">
      <c r="A2" t="s">
        <v>105</v>
      </c>
      <c r="B2" t="s">
        <v>106</v>
      </c>
      <c r="C2" t="s">
        <v>107</v>
      </c>
    </row>
    <row r="3" spans="1:3" x14ac:dyDescent="0.45">
      <c r="A3" s="6" t="s">
        <v>79</v>
      </c>
      <c r="B3" t="s">
        <v>108</v>
      </c>
    </row>
    <row r="4" spans="1:3" x14ac:dyDescent="0.45">
      <c r="A4" s="6" t="s">
        <v>78</v>
      </c>
      <c r="B4" t="s">
        <v>109</v>
      </c>
    </row>
    <row r="5" spans="1:3" x14ac:dyDescent="0.45">
      <c r="A5" s="6" t="s">
        <v>80</v>
      </c>
      <c r="B5" t="s">
        <v>110</v>
      </c>
    </row>
    <row r="6" spans="1:3" x14ac:dyDescent="0.45">
      <c r="A6" s="6" t="s">
        <v>81</v>
      </c>
      <c r="B6" t="s">
        <v>111</v>
      </c>
    </row>
    <row r="7" spans="1:3" x14ac:dyDescent="0.45">
      <c r="A7" s="6" t="s">
        <v>82</v>
      </c>
      <c r="B7" t="s">
        <v>112</v>
      </c>
    </row>
    <row r="8" spans="1:3" x14ac:dyDescent="0.45">
      <c r="A8" s="6" t="s">
        <v>77</v>
      </c>
      <c r="B8" t="s">
        <v>113</v>
      </c>
    </row>
    <row r="9" spans="1:3" x14ac:dyDescent="0.45">
      <c r="A9" t="s">
        <v>76</v>
      </c>
      <c r="B9" t="s">
        <v>114</v>
      </c>
    </row>
    <row r="10" spans="1:3" x14ac:dyDescent="0.45">
      <c r="A10" t="s">
        <v>75</v>
      </c>
      <c r="B10" t="s">
        <v>115</v>
      </c>
    </row>
    <row r="11" spans="1:3" x14ac:dyDescent="0.45">
      <c r="A11" t="s">
        <v>83</v>
      </c>
      <c r="B11" t="s">
        <v>116</v>
      </c>
    </row>
    <row r="12" spans="1:3" x14ac:dyDescent="0.45">
      <c r="A12" t="s">
        <v>84</v>
      </c>
      <c r="B12" t="s">
        <v>117</v>
      </c>
    </row>
    <row r="13" spans="1:3" x14ac:dyDescent="0.45">
      <c r="A13" t="s">
        <v>85</v>
      </c>
      <c r="B13" t="s">
        <v>72</v>
      </c>
    </row>
    <row r="14" spans="1:3" x14ac:dyDescent="0.45">
      <c r="A14" t="s">
        <v>86</v>
      </c>
      <c r="B14" t="s">
        <v>56</v>
      </c>
    </row>
    <row r="15" spans="1:3" x14ac:dyDescent="0.45">
      <c r="A15" t="s">
        <v>87</v>
      </c>
      <c r="B15" t="s">
        <v>57</v>
      </c>
    </row>
    <row r="16" spans="1:3" x14ac:dyDescent="0.45">
      <c r="A16" t="s">
        <v>88</v>
      </c>
      <c r="B16" t="s">
        <v>58</v>
      </c>
    </row>
    <row r="17" spans="1:3" x14ac:dyDescent="0.45">
      <c r="A17" t="s">
        <v>89</v>
      </c>
      <c r="B17" t="s">
        <v>124</v>
      </c>
      <c r="C17" t="s">
        <v>59</v>
      </c>
    </row>
    <row r="18" spans="1:3" x14ac:dyDescent="0.45">
      <c r="A18" t="s">
        <v>90</v>
      </c>
      <c r="B18" t="s">
        <v>125</v>
      </c>
      <c r="C18" t="s">
        <v>60</v>
      </c>
    </row>
    <row r="19" spans="1:3" x14ac:dyDescent="0.45">
      <c r="A19" t="s">
        <v>91</v>
      </c>
      <c r="B19" t="s">
        <v>126</v>
      </c>
      <c r="C19" t="s">
        <v>61</v>
      </c>
    </row>
    <row r="20" spans="1:3" x14ac:dyDescent="0.45">
      <c r="A20" t="s">
        <v>92</v>
      </c>
      <c r="B20" t="s">
        <v>50</v>
      </c>
    </row>
    <row r="21" spans="1:3" x14ac:dyDescent="0.45">
      <c r="A21" t="s">
        <v>93</v>
      </c>
      <c r="B21" t="s">
        <v>51</v>
      </c>
    </row>
    <row r="22" spans="1:3" x14ac:dyDescent="0.45">
      <c r="A22" t="s">
        <v>94</v>
      </c>
      <c r="B22" t="s">
        <v>52</v>
      </c>
    </row>
    <row r="23" spans="1:3" x14ac:dyDescent="0.45">
      <c r="A23" t="s">
        <v>95</v>
      </c>
      <c r="B23" t="s">
        <v>53</v>
      </c>
    </row>
    <row r="24" spans="1:3" x14ac:dyDescent="0.45">
      <c r="A24" t="s">
        <v>96</v>
      </c>
      <c r="B24" t="s">
        <v>54</v>
      </c>
    </row>
    <row r="25" spans="1:3" x14ac:dyDescent="0.45">
      <c r="A25" t="s">
        <v>97</v>
      </c>
      <c r="B25" t="s">
        <v>55</v>
      </c>
    </row>
    <row r="26" spans="1:3" x14ac:dyDescent="0.45">
      <c r="A26" t="s">
        <v>98</v>
      </c>
      <c r="B26" t="s">
        <v>118</v>
      </c>
    </row>
    <row r="27" spans="1:3" x14ac:dyDescent="0.45">
      <c r="A27" s="6" t="s">
        <v>99</v>
      </c>
      <c r="B27" t="s">
        <v>119</v>
      </c>
    </row>
    <row r="28" spans="1:3" x14ac:dyDescent="0.45">
      <c r="A28" s="6" t="s">
        <v>100</v>
      </c>
      <c r="B28" t="s">
        <v>120</v>
      </c>
    </row>
    <row r="29" spans="1:3" x14ac:dyDescent="0.45">
      <c r="A29" s="6" t="s">
        <v>101</v>
      </c>
      <c r="B29" t="s">
        <v>121</v>
      </c>
    </row>
    <row r="30" spans="1:3" x14ac:dyDescent="0.45">
      <c r="A30" s="6" t="s">
        <v>102</v>
      </c>
      <c r="B30" t="s">
        <v>122</v>
      </c>
    </row>
    <row r="31" spans="1:3" x14ac:dyDescent="0.45">
      <c r="A31" s="6" t="s">
        <v>103</v>
      </c>
      <c r="B31" t="s">
        <v>123</v>
      </c>
    </row>
    <row r="32" spans="1:3" x14ac:dyDescent="0.45">
      <c r="A32" s="6" t="s">
        <v>104</v>
      </c>
      <c r="B32" t="s">
        <v>127</v>
      </c>
    </row>
  </sheetData>
  <mergeCells count="1">
    <mergeCell ref="B1:C1"/>
  </mergeCells>
  <phoneticPr fontId="2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FD9E5-FD85-4AC4-A77E-D9AF5188DE92}">
  <dimension ref="A1:M31"/>
  <sheetViews>
    <sheetView zoomScale="70" zoomScaleNormal="70" workbookViewId="0">
      <selection activeCell="D29" sqref="D29"/>
    </sheetView>
  </sheetViews>
  <sheetFormatPr baseColWidth="10" defaultRowHeight="14.25" x14ac:dyDescent="0.45"/>
  <cols>
    <col min="4" max="4" width="20.9296875" bestFit="1" customWidth="1"/>
    <col min="5" max="8" width="17.86328125" bestFit="1" customWidth="1"/>
    <col min="9" max="9" width="12.53125" bestFit="1" customWidth="1"/>
  </cols>
  <sheetData>
    <row r="1" spans="1:13" x14ac:dyDescent="0.45">
      <c r="A1" t="s">
        <v>105</v>
      </c>
    </row>
    <row r="2" spans="1:13" x14ac:dyDescent="0.45">
      <c r="A2" s="6" t="s">
        <v>79</v>
      </c>
      <c r="B2" s="10" t="s">
        <v>28</v>
      </c>
      <c r="C2" s="8" t="s">
        <v>64</v>
      </c>
    </row>
    <row r="3" spans="1:13" x14ac:dyDescent="0.45">
      <c r="A3" s="6" t="s">
        <v>78</v>
      </c>
      <c r="B3" s="10" t="s">
        <v>27</v>
      </c>
      <c r="C3" s="8" t="s">
        <v>65</v>
      </c>
    </row>
    <row r="4" spans="1:13" x14ac:dyDescent="0.45">
      <c r="A4" s="6" t="s">
        <v>80</v>
      </c>
      <c r="B4" s="10" t="s">
        <v>26</v>
      </c>
      <c r="C4" s="8" t="s">
        <v>66</v>
      </c>
    </row>
    <row r="5" spans="1:13" x14ac:dyDescent="0.45">
      <c r="A5" s="6" t="s">
        <v>81</v>
      </c>
      <c r="B5" s="10" t="s">
        <v>25</v>
      </c>
      <c r="C5" s="8" t="s">
        <v>67</v>
      </c>
      <c r="E5" s="11" t="s">
        <v>136</v>
      </c>
    </row>
    <row r="6" spans="1:13" x14ac:dyDescent="0.45">
      <c r="A6" s="6" t="s">
        <v>82</v>
      </c>
      <c r="B6" s="10" t="s">
        <v>24</v>
      </c>
      <c r="C6" s="8" t="s">
        <v>68</v>
      </c>
      <c r="E6" s="10" t="s">
        <v>133</v>
      </c>
    </row>
    <row r="7" spans="1:13" x14ac:dyDescent="0.45">
      <c r="A7" s="6" t="s">
        <v>77</v>
      </c>
      <c r="B7" s="10" t="s">
        <v>23</v>
      </c>
      <c r="C7" s="8" t="s">
        <v>69</v>
      </c>
      <c r="E7" s="3" t="s">
        <v>135</v>
      </c>
    </row>
    <row r="8" spans="1:13" x14ac:dyDescent="0.45">
      <c r="A8" t="s">
        <v>76</v>
      </c>
      <c r="B8" s="10" t="s">
        <v>9</v>
      </c>
      <c r="C8" s="11" t="s">
        <v>4</v>
      </c>
      <c r="E8" s="7" t="s">
        <v>132</v>
      </c>
    </row>
    <row r="9" spans="1:13" x14ac:dyDescent="0.45">
      <c r="A9" t="s">
        <v>75</v>
      </c>
      <c r="B9" s="13" t="s">
        <v>15</v>
      </c>
      <c r="C9" s="11" t="s">
        <v>5</v>
      </c>
      <c r="E9" s="8" t="s">
        <v>71</v>
      </c>
    </row>
    <row r="10" spans="1:13" x14ac:dyDescent="0.45">
      <c r="A10" t="s">
        <v>83</v>
      </c>
      <c r="B10" s="13" t="s">
        <v>14</v>
      </c>
      <c r="C10" s="11" t="s">
        <v>17</v>
      </c>
      <c r="E10" s="9" t="s">
        <v>49</v>
      </c>
    </row>
    <row r="11" spans="1:13" x14ac:dyDescent="0.45">
      <c r="A11" t="s">
        <v>84</v>
      </c>
      <c r="B11" s="13" t="s">
        <v>13</v>
      </c>
      <c r="C11" s="11" t="s">
        <v>0</v>
      </c>
    </row>
    <row r="12" spans="1:13" x14ac:dyDescent="0.45">
      <c r="A12" t="s">
        <v>85</v>
      </c>
      <c r="B12" s="13" t="s">
        <v>1</v>
      </c>
      <c r="C12" s="7" t="s">
        <v>56</v>
      </c>
      <c r="D12" s="8" t="s">
        <v>64</v>
      </c>
    </row>
    <row r="13" spans="1:13" x14ac:dyDescent="0.45">
      <c r="A13" t="s">
        <v>86</v>
      </c>
      <c r="B13" s="3" t="s">
        <v>10</v>
      </c>
      <c r="C13" s="7" t="s">
        <v>57</v>
      </c>
      <c r="D13" s="8" t="s">
        <v>65</v>
      </c>
    </row>
    <row r="14" spans="1:13" x14ac:dyDescent="0.45">
      <c r="A14" t="s">
        <v>87</v>
      </c>
      <c r="B14" s="3" t="s">
        <v>12</v>
      </c>
      <c r="C14" s="7" t="s">
        <v>58</v>
      </c>
      <c r="D14" s="8" t="s">
        <v>66</v>
      </c>
    </row>
    <row r="15" spans="1:13" x14ac:dyDescent="0.45">
      <c r="A15" t="s">
        <v>88</v>
      </c>
      <c r="B15" s="3" t="s">
        <v>18</v>
      </c>
      <c r="C15" s="7" t="s">
        <v>59</v>
      </c>
      <c r="D15" s="8" t="s">
        <v>67</v>
      </c>
    </row>
    <row r="16" spans="1:13" x14ac:dyDescent="0.45">
      <c r="A16" t="s">
        <v>89</v>
      </c>
      <c r="B16" s="3" t="s">
        <v>3</v>
      </c>
      <c r="C16" s="7" t="s">
        <v>60</v>
      </c>
      <c r="D16" s="8" t="s">
        <v>68</v>
      </c>
      <c r="F16" s="14" t="s">
        <v>145</v>
      </c>
      <c r="G16" s="14" t="s">
        <v>143</v>
      </c>
      <c r="H16" s="14" t="s">
        <v>140</v>
      </c>
      <c r="I16" s="14" t="s">
        <v>137</v>
      </c>
      <c r="J16" s="14" t="s">
        <v>138</v>
      </c>
      <c r="K16" s="14" t="s">
        <v>139</v>
      </c>
      <c r="L16" s="14" t="s">
        <v>141</v>
      </c>
      <c r="M16" s="14" t="s">
        <v>142</v>
      </c>
    </row>
    <row r="17" spans="1:13" x14ac:dyDescent="0.45">
      <c r="A17" t="s">
        <v>90</v>
      </c>
      <c r="B17" s="3" t="s">
        <v>2</v>
      </c>
      <c r="C17" s="7" t="s">
        <v>61</v>
      </c>
      <c r="D17" s="8" t="s">
        <v>69</v>
      </c>
      <c r="F17" s="14" t="s">
        <v>143</v>
      </c>
      <c r="G17" s="15" t="s">
        <v>144</v>
      </c>
      <c r="H17" s="15" t="s">
        <v>144</v>
      </c>
      <c r="I17" s="15" t="s">
        <v>144</v>
      </c>
      <c r="J17" s="16"/>
      <c r="K17" s="16"/>
      <c r="L17" s="16"/>
      <c r="M17" s="16"/>
    </row>
    <row r="18" spans="1:13" x14ac:dyDescent="0.45">
      <c r="A18" t="s">
        <v>91</v>
      </c>
      <c r="B18" s="7" t="s">
        <v>56</v>
      </c>
      <c r="C18" s="8" t="s">
        <v>64</v>
      </c>
      <c r="D18" s="9" t="s">
        <v>50</v>
      </c>
      <c r="F18" s="14" t="s">
        <v>140</v>
      </c>
      <c r="G18" s="15" t="s">
        <v>144</v>
      </c>
      <c r="H18" s="15" t="s">
        <v>144</v>
      </c>
      <c r="I18" s="15" t="s">
        <v>144</v>
      </c>
      <c r="J18" s="16"/>
      <c r="K18" s="16"/>
      <c r="L18" s="16"/>
      <c r="M18" s="16"/>
    </row>
    <row r="19" spans="1:13" x14ac:dyDescent="0.45">
      <c r="A19" t="s">
        <v>92</v>
      </c>
      <c r="B19" s="7" t="s">
        <v>57</v>
      </c>
      <c r="C19" s="8" t="s">
        <v>65</v>
      </c>
      <c r="D19" s="9" t="s">
        <v>51</v>
      </c>
      <c r="F19" s="14" t="s">
        <v>137</v>
      </c>
      <c r="G19" s="15" t="s">
        <v>144</v>
      </c>
      <c r="H19" s="15" t="s">
        <v>144</v>
      </c>
      <c r="I19" s="15" t="s">
        <v>144</v>
      </c>
      <c r="J19" s="16"/>
      <c r="K19" s="16"/>
      <c r="L19" s="16"/>
      <c r="M19" s="16"/>
    </row>
    <row r="20" spans="1:13" x14ac:dyDescent="0.45">
      <c r="A20" t="s">
        <v>93</v>
      </c>
      <c r="B20" s="7" t="s">
        <v>58</v>
      </c>
      <c r="C20" s="8" t="s">
        <v>66</v>
      </c>
      <c r="D20" s="9" t="s">
        <v>52</v>
      </c>
      <c r="F20" s="14" t="s">
        <v>138</v>
      </c>
      <c r="G20" s="16"/>
      <c r="H20" s="16"/>
      <c r="I20" s="16"/>
      <c r="J20" s="15" t="s">
        <v>144</v>
      </c>
      <c r="K20" s="16"/>
      <c r="L20" s="16"/>
      <c r="M20" s="16"/>
    </row>
    <row r="21" spans="1:13" x14ac:dyDescent="0.45">
      <c r="A21" t="s">
        <v>94</v>
      </c>
      <c r="B21" s="7" t="s">
        <v>59</v>
      </c>
      <c r="C21" s="8" t="s">
        <v>67</v>
      </c>
      <c r="D21" s="9" t="s">
        <v>53</v>
      </c>
      <c r="F21" s="14" t="s">
        <v>139</v>
      </c>
      <c r="G21" s="16"/>
      <c r="H21" s="16"/>
      <c r="I21" s="16"/>
      <c r="J21" s="16"/>
      <c r="K21" s="15" t="s">
        <v>144</v>
      </c>
      <c r="L21" s="16"/>
      <c r="M21" s="16"/>
    </row>
    <row r="22" spans="1:13" x14ac:dyDescent="0.45">
      <c r="A22" t="s">
        <v>95</v>
      </c>
      <c r="B22" s="7" t="s">
        <v>60</v>
      </c>
      <c r="C22" s="8" t="s">
        <v>68</v>
      </c>
      <c r="D22" s="9" t="s">
        <v>54</v>
      </c>
      <c r="F22" s="14" t="s">
        <v>141</v>
      </c>
      <c r="G22" s="16"/>
      <c r="H22" s="16"/>
      <c r="I22" s="16"/>
      <c r="J22" s="16"/>
      <c r="K22" s="16"/>
      <c r="L22" s="15" t="s">
        <v>144</v>
      </c>
      <c r="M22" s="16"/>
    </row>
    <row r="23" spans="1:13" x14ac:dyDescent="0.45">
      <c r="A23" t="s">
        <v>96</v>
      </c>
      <c r="B23" s="7" t="s">
        <v>61</v>
      </c>
      <c r="C23" s="8" t="s">
        <v>69</v>
      </c>
      <c r="D23" s="9" t="s">
        <v>55</v>
      </c>
      <c r="F23" s="14" t="s">
        <v>142</v>
      </c>
      <c r="G23" s="16"/>
      <c r="H23" s="16"/>
      <c r="I23" s="16"/>
      <c r="J23" s="16"/>
      <c r="K23" s="16"/>
      <c r="L23" s="16"/>
      <c r="M23" s="15" t="s">
        <v>144</v>
      </c>
    </row>
    <row r="24" spans="1:13" x14ac:dyDescent="0.45">
      <c r="A24" t="s">
        <v>97</v>
      </c>
      <c r="B24" t="s">
        <v>72</v>
      </c>
    </row>
    <row r="25" spans="1:13" x14ac:dyDescent="0.45">
      <c r="A25" t="s">
        <v>98</v>
      </c>
      <c r="B25" s="10" t="s">
        <v>22</v>
      </c>
    </row>
    <row r="26" spans="1:13" x14ac:dyDescent="0.45">
      <c r="A26" s="6" t="s">
        <v>99</v>
      </c>
      <c r="B26" s="10" t="s">
        <v>32</v>
      </c>
      <c r="C26" s="9" t="s">
        <v>50</v>
      </c>
    </row>
    <row r="27" spans="1:13" x14ac:dyDescent="0.45">
      <c r="A27" s="6" t="s">
        <v>100</v>
      </c>
      <c r="B27" s="10" t="s">
        <v>16</v>
      </c>
      <c r="C27" s="9" t="s">
        <v>51</v>
      </c>
    </row>
    <row r="28" spans="1:13" x14ac:dyDescent="0.45">
      <c r="A28" s="6" t="s">
        <v>101</v>
      </c>
      <c r="B28" s="10" t="s">
        <v>31</v>
      </c>
      <c r="C28" s="9" t="s">
        <v>52</v>
      </c>
    </row>
    <row r="29" spans="1:13" x14ac:dyDescent="0.45">
      <c r="A29" s="6" t="s">
        <v>102</v>
      </c>
      <c r="B29" s="10" t="s">
        <v>30</v>
      </c>
      <c r="C29" s="9" t="s">
        <v>53</v>
      </c>
    </row>
    <row r="30" spans="1:13" x14ac:dyDescent="0.45">
      <c r="A30" s="6" t="s">
        <v>103</v>
      </c>
      <c r="B30" s="10" t="s">
        <v>29</v>
      </c>
      <c r="C30" s="9" t="s">
        <v>54</v>
      </c>
    </row>
    <row r="31" spans="1:13" x14ac:dyDescent="0.45">
      <c r="A31" s="6" t="s">
        <v>104</v>
      </c>
      <c r="B31" s="10" t="s">
        <v>33</v>
      </c>
      <c r="C31" s="9" t="s">
        <v>55</v>
      </c>
    </row>
  </sheetData>
  <pageMargins left="0.7" right="0.7" top="0.78740157499999996" bottom="0.78740157499999996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A19D0-A05D-43AE-B8FD-7DE6E3441DDE}">
  <dimension ref="A1:T38"/>
  <sheetViews>
    <sheetView tabSelected="1" zoomScale="70" zoomScaleNormal="70" workbookViewId="0">
      <selection activeCell="O14" sqref="O14"/>
    </sheetView>
  </sheetViews>
  <sheetFormatPr baseColWidth="10" defaultRowHeight="14.25" x14ac:dyDescent="0.45"/>
  <sheetData>
    <row r="1" spans="1:20" x14ac:dyDescent="0.45">
      <c r="A1" t="s">
        <v>105</v>
      </c>
    </row>
    <row r="2" spans="1:20" x14ac:dyDescent="0.45">
      <c r="A2" s="6" t="s">
        <v>79</v>
      </c>
      <c r="B2" s="10" t="s">
        <v>28</v>
      </c>
      <c r="C2" s="10" t="s">
        <v>28</v>
      </c>
      <c r="D2" s="10" t="s">
        <v>28</v>
      </c>
      <c r="E2" s="8" t="s">
        <v>64</v>
      </c>
      <c r="F2" s="8" t="s">
        <v>64</v>
      </c>
    </row>
    <row r="3" spans="1:20" x14ac:dyDescent="0.45">
      <c r="A3" s="6" t="s">
        <v>78</v>
      </c>
      <c r="B3" s="10" t="s">
        <v>27</v>
      </c>
      <c r="C3" s="10" t="s">
        <v>27</v>
      </c>
      <c r="D3" s="10" t="s">
        <v>27</v>
      </c>
      <c r="E3" s="8" t="s">
        <v>65</v>
      </c>
      <c r="F3" s="8" t="s">
        <v>65</v>
      </c>
    </row>
    <row r="4" spans="1:20" x14ac:dyDescent="0.45">
      <c r="A4" s="6" t="s">
        <v>80</v>
      </c>
      <c r="B4" s="10" t="s">
        <v>26</v>
      </c>
      <c r="C4" s="10" t="s">
        <v>26</v>
      </c>
      <c r="D4" s="10" t="s">
        <v>26</v>
      </c>
      <c r="E4" s="8" t="s">
        <v>66</v>
      </c>
      <c r="F4" s="8" t="s">
        <v>66</v>
      </c>
    </row>
    <row r="5" spans="1:20" x14ac:dyDescent="0.45">
      <c r="A5" s="6" t="s">
        <v>81</v>
      </c>
      <c r="B5" s="10" t="s">
        <v>25</v>
      </c>
      <c r="C5" s="10" t="s">
        <v>25</v>
      </c>
      <c r="D5" s="10" t="s">
        <v>25</v>
      </c>
      <c r="E5" s="8" t="s">
        <v>67</v>
      </c>
      <c r="F5" s="8" t="s">
        <v>67</v>
      </c>
    </row>
    <row r="6" spans="1:20" x14ac:dyDescent="0.45">
      <c r="A6" s="6" t="s">
        <v>82</v>
      </c>
      <c r="B6" s="10" t="s">
        <v>24</v>
      </c>
      <c r="C6" s="10" t="s">
        <v>24</v>
      </c>
      <c r="D6" s="10" t="s">
        <v>24</v>
      </c>
      <c r="E6" s="8" t="s">
        <v>68</v>
      </c>
      <c r="F6" s="8" t="s">
        <v>68</v>
      </c>
    </row>
    <row r="7" spans="1:20" x14ac:dyDescent="0.45">
      <c r="A7" s="6" t="s">
        <v>77</v>
      </c>
      <c r="B7" s="10" t="s">
        <v>23</v>
      </c>
      <c r="C7" s="10" t="s">
        <v>23</v>
      </c>
      <c r="D7" s="10" t="s">
        <v>23</v>
      </c>
      <c r="E7" s="8" t="s">
        <v>69</v>
      </c>
      <c r="F7" s="8" t="s">
        <v>69</v>
      </c>
    </row>
    <row r="8" spans="1:20" x14ac:dyDescent="0.45">
      <c r="A8" t="s">
        <v>76</v>
      </c>
      <c r="B8" s="10" t="s">
        <v>9</v>
      </c>
      <c r="C8" s="10" t="s">
        <v>9</v>
      </c>
      <c r="D8" s="10" t="s">
        <v>9</v>
      </c>
    </row>
    <row r="9" spans="1:20" x14ac:dyDescent="0.45">
      <c r="A9" t="s">
        <v>75</v>
      </c>
      <c r="B9" s="13" t="s">
        <v>15</v>
      </c>
      <c r="C9" s="13" t="s">
        <v>15</v>
      </c>
      <c r="D9" s="13" t="s">
        <v>15</v>
      </c>
      <c r="F9" s="13" t="s">
        <v>15</v>
      </c>
    </row>
    <row r="10" spans="1:20" x14ac:dyDescent="0.45">
      <c r="A10" t="s">
        <v>83</v>
      </c>
      <c r="B10" s="13" t="s">
        <v>14</v>
      </c>
      <c r="C10" s="13" t="s">
        <v>14</v>
      </c>
      <c r="D10" s="13" t="s">
        <v>14</v>
      </c>
      <c r="F10" s="13" t="s">
        <v>14</v>
      </c>
    </row>
    <row r="11" spans="1:20" x14ac:dyDescent="0.45">
      <c r="A11" t="s">
        <v>84</v>
      </c>
      <c r="B11" s="13" t="s">
        <v>13</v>
      </c>
      <c r="C11" s="13" t="s">
        <v>13</v>
      </c>
      <c r="D11" s="13" t="s">
        <v>13</v>
      </c>
      <c r="F11" s="13" t="s">
        <v>13</v>
      </c>
      <c r="G11" s="17"/>
      <c r="H11" s="17"/>
      <c r="I11" s="17"/>
      <c r="L11" s="17"/>
      <c r="M11" s="17"/>
      <c r="T11" s="11" t="s">
        <v>136</v>
      </c>
    </row>
    <row r="12" spans="1:20" x14ac:dyDescent="0.45">
      <c r="A12" t="s">
        <v>85</v>
      </c>
      <c r="B12" s="13" t="s">
        <v>1</v>
      </c>
      <c r="C12" s="13" t="s">
        <v>1</v>
      </c>
      <c r="D12" s="13" t="s">
        <v>1</v>
      </c>
      <c r="F12" s="13" t="s">
        <v>1</v>
      </c>
      <c r="G12" s="17"/>
      <c r="H12" s="17"/>
      <c r="I12" s="17"/>
      <c r="L12" s="17"/>
      <c r="M12" s="17"/>
      <c r="T12" s="10" t="s">
        <v>133</v>
      </c>
    </row>
    <row r="13" spans="1:20" x14ac:dyDescent="0.45">
      <c r="A13" t="s">
        <v>86</v>
      </c>
      <c r="B13" s="3" t="s">
        <v>10</v>
      </c>
      <c r="C13" s="3" t="s">
        <v>10</v>
      </c>
      <c r="D13" s="3" t="s">
        <v>10</v>
      </c>
      <c r="F13" s="3" t="s">
        <v>10</v>
      </c>
      <c r="T13" s="3" t="s">
        <v>135</v>
      </c>
    </row>
    <row r="14" spans="1:20" x14ac:dyDescent="0.45">
      <c r="A14" t="s">
        <v>87</v>
      </c>
      <c r="B14" s="3" t="s">
        <v>12</v>
      </c>
      <c r="C14" s="3" t="s">
        <v>12</v>
      </c>
      <c r="D14" s="3" t="s">
        <v>12</v>
      </c>
      <c r="E14" s="11" t="s">
        <v>4</v>
      </c>
      <c r="F14" s="3" t="s">
        <v>12</v>
      </c>
      <c r="T14" s="7" t="s">
        <v>132</v>
      </c>
    </row>
    <row r="15" spans="1:20" x14ac:dyDescent="0.45">
      <c r="A15" t="s">
        <v>88</v>
      </c>
      <c r="B15" s="3" t="s">
        <v>18</v>
      </c>
      <c r="C15" s="3" t="s">
        <v>18</v>
      </c>
      <c r="D15" s="3" t="s">
        <v>18</v>
      </c>
      <c r="E15" s="11" t="s">
        <v>5</v>
      </c>
      <c r="F15" s="3" t="s">
        <v>18</v>
      </c>
      <c r="T15" s="8" t="s">
        <v>71</v>
      </c>
    </row>
    <row r="16" spans="1:20" x14ac:dyDescent="0.45">
      <c r="A16" t="s">
        <v>89</v>
      </c>
      <c r="B16" s="3" t="s">
        <v>3</v>
      </c>
      <c r="C16" s="3" t="s">
        <v>3</v>
      </c>
      <c r="D16" s="3" t="s">
        <v>3</v>
      </c>
      <c r="E16" s="11" t="s">
        <v>17</v>
      </c>
      <c r="F16" s="3" t="s">
        <v>3</v>
      </c>
      <c r="T16" s="9" t="s">
        <v>49</v>
      </c>
    </row>
    <row r="17" spans="1:6" x14ac:dyDescent="0.45">
      <c r="A17" t="s">
        <v>90</v>
      </c>
      <c r="B17" s="3" t="s">
        <v>2</v>
      </c>
      <c r="C17" s="3" t="s">
        <v>2</v>
      </c>
      <c r="D17" s="3" t="s">
        <v>2</v>
      </c>
      <c r="E17" s="11" t="s">
        <v>0</v>
      </c>
      <c r="F17" s="3" t="s">
        <v>2</v>
      </c>
    </row>
    <row r="18" spans="1:6" x14ac:dyDescent="0.45">
      <c r="A18" t="s">
        <v>91</v>
      </c>
      <c r="B18" s="7" t="s">
        <v>56</v>
      </c>
      <c r="C18" s="8" t="s">
        <v>64</v>
      </c>
      <c r="D18" s="9" t="s">
        <v>50</v>
      </c>
      <c r="E18" s="7" t="s">
        <v>56</v>
      </c>
      <c r="F18" s="7" t="s">
        <v>56</v>
      </c>
    </row>
    <row r="19" spans="1:6" x14ac:dyDescent="0.45">
      <c r="A19" t="s">
        <v>92</v>
      </c>
      <c r="B19" s="7" t="s">
        <v>57</v>
      </c>
      <c r="C19" s="8" t="s">
        <v>65</v>
      </c>
      <c r="D19" s="9" t="s">
        <v>51</v>
      </c>
      <c r="E19" s="7" t="s">
        <v>57</v>
      </c>
      <c r="F19" s="7" t="s">
        <v>57</v>
      </c>
    </row>
    <row r="20" spans="1:6" x14ac:dyDescent="0.45">
      <c r="A20" t="s">
        <v>93</v>
      </c>
      <c r="B20" s="7" t="s">
        <v>58</v>
      </c>
      <c r="C20" s="8" t="s">
        <v>66</v>
      </c>
      <c r="D20" s="9" t="s">
        <v>52</v>
      </c>
      <c r="E20" s="7" t="s">
        <v>58</v>
      </c>
      <c r="F20" s="7" t="s">
        <v>58</v>
      </c>
    </row>
    <row r="21" spans="1:6" x14ac:dyDescent="0.45">
      <c r="A21" t="s">
        <v>94</v>
      </c>
      <c r="B21" s="7" t="s">
        <v>59</v>
      </c>
      <c r="C21" s="8" t="s">
        <v>67</v>
      </c>
      <c r="D21" s="9" t="s">
        <v>53</v>
      </c>
      <c r="E21" s="7" t="s">
        <v>59</v>
      </c>
      <c r="F21" s="7" t="s">
        <v>59</v>
      </c>
    </row>
    <row r="22" spans="1:6" x14ac:dyDescent="0.45">
      <c r="A22" t="s">
        <v>95</v>
      </c>
      <c r="B22" s="7" t="s">
        <v>60</v>
      </c>
      <c r="C22" s="8" t="s">
        <v>68</v>
      </c>
      <c r="D22" s="9" t="s">
        <v>54</v>
      </c>
      <c r="E22" s="7" t="s">
        <v>60</v>
      </c>
      <c r="F22" s="7" t="s">
        <v>60</v>
      </c>
    </row>
    <row r="23" spans="1:6" x14ac:dyDescent="0.45">
      <c r="A23" t="s">
        <v>96</v>
      </c>
      <c r="B23" s="7" t="s">
        <v>61</v>
      </c>
      <c r="C23" s="8" t="s">
        <v>69</v>
      </c>
      <c r="D23" s="9" t="s">
        <v>55</v>
      </c>
      <c r="E23" s="7" t="s">
        <v>61</v>
      </c>
      <c r="F23" s="7" t="s">
        <v>61</v>
      </c>
    </row>
    <row r="24" spans="1:6" x14ac:dyDescent="0.45">
      <c r="A24" t="s">
        <v>97</v>
      </c>
      <c r="B24" t="s">
        <v>72</v>
      </c>
      <c r="C24" t="s">
        <v>72</v>
      </c>
      <c r="D24" t="s">
        <v>72</v>
      </c>
      <c r="E24" t="s">
        <v>72</v>
      </c>
      <c r="F24" t="s">
        <v>72</v>
      </c>
    </row>
    <row r="25" spans="1:6" x14ac:dyDescent="0.45">
      <c r="A25" t="s">
        <v>98</v>
      </c>
      <c r="B25" s="10" t="s">
        <v>22</v>
      </c>
      <c r="C25" s="10" t="s">
        <v>22</v>
      </c>
      <c r="D25" s="10" t="s">
        <v>22</v>
      </c>
    </row>
    <row r="26" spans="1:6" x14ac:dyDescent="0.45">
      <c r="A26" s="6" t="s">
        <v>99</v>
      </c>
      <c r="B26" s="10" t="s">
        <v>32</v>
      </c>
      <c r="C26" s="10" t="s">
        <v>32</v>
      </c>
      <c r="D26" s="10" t="s">
        <v>32</v>
      </c>
      <c r="E26" s="9" t="s">
        <v>50</v>
      </c>
      <c r="F26" s="9" t="s">
        <v>50</v>
      </c>
    </row>
    <row r="27" spans="1:6" x14ac:dyDescent="0.45">
      <c r="A27" s="6" t="s">
        <v>100</v>
      </c>
      <c r="B27" s="10" t="s">
        <v>16</v>
      </c>
      <c r="C27" s="10" t="s">
        <v>16</v>
      </c>
      <c r="D27" s="10" t="s">
        <v>16</v>
      </c>
      <c r="E27" s="9" t="s">
        <v>51</v>
      </c>
      <c r="F27" s="9" t="s">
        <v>51</v>
      </c>
    </row>
    <row r="28" spans="1:6" x14ac:dyDescent="0.45">
      <c r="A28" s="6" t="s">
        <v>101</v>
      </c>
      <c r="B28" s="10" t="s">
        <v>31</v>
      </c>
      <c r="C28" s="10" t="s">
        <v>31</v>
      </c>
      <c r="D28" s="10" t="s">
        <v>31</v>
      </c>
      <c r="E28" s="9" t="s">
        <v>52</v>
      </c>
      <c r="F28" s="9" t="s">
        <v>52</v>
      </c>
    </row>
    <row r="29" spans="1:6" x14ac:dyDescent="0.45">
      <c r="A29" s="6" t="s">
        <v>102</v>
      </c>
      <c r="B29" s="10" t="s">
        <v>30</v>
      </c>
      <c r="C29" s="10" t="s">
        <v>30</v>
      </c>
      <c r="D29" s="10" t="s">
        <v>30</v>
      </c>
      <c r="E29" s="9" t="s">
        <v>53</v>
      </c>
      <c r="F29" s="9" t="s">
        <v>53</v>
      </c>
    </row>
    <row r="30" spans="1:6" x14ac:dyDescent="0.45">
      <c r="A30" s="6" t="s">
        <v>103</v>
      </c>
      <c r="B30" s="10" t="s">
        <v>29</v>
      </c>
      <c r="C30" s="10" t="s">
        <v>29</v>
      </c>
      <c r="D30" s="10" t="s">
        <v>29</v>
      </c>
      <c r="E30" s="9" t="s">
        <v>54</v>
      </c>
      <c r="F30" s="9" t="s">
        <v>54</v>
      </c>
    </row>
    <row r="31" spans="1:6" x14ac:dyDescent="0.45">
      <c r="A31" s="6" t="s">
        <v>104</v>
      </c>
      <c r="B31" s="10" t="s">
        <v>33</v>
      </c>
      <c r="C31" s="10" t="s">
        <v>33</v>
      </c>
      <c r="D31" s="10" t="s">
        <v>33</v>
      </c>
      <c r="E31" s="9" t="s">
        <v>55</v>
      </c>
      <c r="F31" s="9" t="s">
        <v>55</v>
      </c>
    </row>
    <row r="33" spans="1:5" x14ac:dyDescent="0.45">
      <c r="A33" s="18"/>
      <c r="B33" s="20"/>
      <c r="C33" s="20"/>
      <c r="D33" s="20"/>
      <c r="E33" s="12"/>
    </row>
    <row r="34" spans="1:5" x14ac:dyDescent="0.45">
      <c r="A34" s="18"/>
      <c r="B34" s="19"/>
      <c r="C34" s="19"/>
      <c r="D34" s="19"/>
      <c r="E34" s="19"/>
    </row>
    <row r="35" spans="1:5" x14ac:dyDescent="0.45">
      <c r="A35" s="18"/>
    </row>
    <row r="36" spans="1:5" x14ac:dyDescent="0.45">
      <c r="A36" s="18"/>
    </row>
    <row r="37" spans="1:5" x14ac:dyDescent="0.45">
      <c r="A37" s="18"/>
    </row>
    <row r="38" spans="1:5" x14ac:dyDescent="0.45">
      <c r="B38" s="20"/>
      <c r="C38" s="20"/>
      <c r="D38" s="20"/>
    </row>
  </sheetData>
  <mergeCells count="2">
    <mergeCell ref="B33:D33"/>
    <mergeCell ref="B38:D38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Signals</vt:lpstr>
      <vt:lpstr>Pinout</vt:lpstr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Julian</cp:lastModifiedBy>
  <dcterms:created xsi:type="dcterms:W3CDTF">2021-10-21T17:53:55Z</dcterms:created>
  <dcterms:modified xsi:type="dcterms:W3CDTF">2021-10-28T10:38:43Z</dcterms:modified>
</cp:coreProperties>
</file>